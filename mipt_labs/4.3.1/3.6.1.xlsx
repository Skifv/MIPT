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kif\Desktop\"/>
    </mc:Choice>
  </mc:AlternateContent>
  <xr:revisionPtr revIDLastSave="0" documentId="13_ncr:1_{2D988C53-23FE-45CA-9FE1-084F5FD822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K28" i="1"/>
  <c r="H28" i="1"/>
  <c r="J28" i="1"/>
  <c r="I28" i="1"/>
  <c r="H26" i="1"/>
  <c r="H25" i="1"/>
  <c r="H24" i="1"/>
  <c r="H23" i="1"/>
  <c r="H22" i="1"/>
  <c r="H21" i="1"/>
  <c r="J22" i="1"/>
  <c r="J23" i="1"/>
  <c r="J24" i="1"/>
  <c r="J25" i="1"/>
  <c r="J26" i="1"/>
  <c r="J21" i="1"/>
  <c r="I6" i="1"/>
  <c r="H8" i="1"/>
  <c r="H6" i="1"/>
  <c r="L12" i="1"/>
  <c r="M12" i="1"/>
  <c r="K12" i="1"/>
  <c r="M11" i="1"/>
  <c r="H7" i="1"/>
  <c r="H9" i="1"/>
  <c r="H10" i="1"/>
  <c r="I7" i="1"/>
  <c r="I8" i="1"/>
  <c r="I9" i="1"/>
  <c r="I10" i="1"/>
  <c r="G2" i="1"/>
  <c r="D10" i="1"/>
  <c r="D11" i="1"/>
  <c r="D12" i="1"/>
  <c r="D13" i="1"/>
  <c r="D9" i="1"/>
  <c r="D43" i="1"/>
  <c r="C43" i="1"/>
  <c r="B43" i="1"/>
  <c r="F26" i="1"/>
  <c r="K18" i="1"/>
  <c r="E17" i="1"/>
</calcChain>
</file>

<file path=xl/sharedStrings.xml><?xml version="1.0" encoding="utf-8"?>
<sst xmlns="http://schemas.openxmlformats.org/spreadsheetml/2006/main" count="53" uniqueCount="46">
  <si>
    <t>А</t>
  </si>
  <si>
    <t>открытие щель, дел</t>
  </si>
  <si>
    <t>Ставим микрометрическую щель, мм</t>
  </si>
  <si>
    <t>Четко видна щель, см</t>
  </si>
  <si>
    <t>На риске</t>
  </si>
  <si>
    <t>Один край</t>
  </si>
  <si>
    <t>Второй край</t>
  </si>
  <si>
    <t>Ширина щели</t>
  </si>
  <si>
    <t>15 дел шкалы окуляра</t>
  </si>
  <si>
    <t>0.305 мм</t>
  </si>
  <si>
    <t>1 дел</t>
  </si>
  <si>
    <t>мм</t>
  </si>
  <si>
    <t>F2</t>
  </si>
  <si>
    <t>см</t>
  </si>
  <si>
    <t>Ширина щели в п. B</t>
  </si>
  <si>
    <t>дел</t>
  </si>
  <si>
    <t>В</t>
  </si>
  <si>
    <t>Б</t>
  </si>
  <si>
    <t>Фокусное расстояние линз</t>
  </si>
  <si>
    <t>ближняя к микроскопу</t>
  </si>
  <si>
    <t>дальняя</t>
  </si>
  <si>
    <t>Ширина главного максимума</t>
  </si>
  <si>
    <t>Калибровка окуляра</t>
  </si>
  <si>
    <t>Первый раз пропали</t>
  </si>
  <si>
    <t>Снова появилась</t>
  </si>
  <si>
    <t>Г</t>
  </si>
  <si>
    <t>минимально разрешимы</t>
  </si>
  <si>
    <t>Самая правая</t>
  </si>
  <si>
    <t>Правая линия левая граница</t>
  </si>
  <si>
    <t>Левая линия правая граница</t>
  </si>
  <si>
    <t>Левая линия левая граница</t>
  </si>
  <si>
    <t>*0.01 мм</t>
  </si>
  <si>
    <t>z, см</t>
  </si>
  <si>
    <t>Полосы, n</t>
  </si>
  <si>
    <t>Зоны, m</t>
  </si>
  <si>
    <t>Координата по линейке, см</t>
  </si>
  <si>
    <t>lambda</t>
  </si>
  <si>
    <t>y</t>
  </si>
  <si>
    <t>x</t>
  </si>
  <si>
    <t>k</t>
  </si>
  <si>
    <t>b</t>
  </si>
  <si>
    <t>n</t>
  </si>
  <si>
    <t>Деления</t>
  </si>
  <si>
    <t>x_n, мм</t>
  </si>
  <si>
    <t>n*lambda*f_2</t>
  </si>
  <si>
    <t>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</si>
</sst>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000000E+00"/>
    <numFmt numFmtId="169" formatCode="0.00000000E+00"/>
    <numFmt numFmtId="170" formatCode="0.0000"/>
    <numFmt numFmtId="172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27811937833614"/>
          <c:y val="0.17171296296296296"/>
          <c:w val="0.82596158099619565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Измерения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45"/>
            <c:intercept val="0"/>
            <c:dispRSqr val="1"/>
            <c:dispEq val="1"/>
            <c:trendlineLbl>
              <c:layout>
                <c:manualLayout>
                  <c:x val="-1.1267399624582531E-2"/>
                  <c:y val="-1.532152230971128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Лист1!$I$6:$I$10</c:f>
              <c:numCache>
                <c:formatCode>General</c:formatCode>
                <c:ptCount val="5"/>
                <c:pt idx="0">
                  <c:v>46.51162790697677</c:v>
                </c:pt>
                <c:pt idx="1">
                  <c:v>71.428571428571502</c:v>
                </c:pt>
                <c:pt idx="2">
                  <c:v>95.238095238095497</c:v>
                </c:pt>
                <c:pt idx="3">
                  <c:v>125.00000000000043</c:v>
                </c:pt>
                <c:pt idx="4">
                  <c:v>153.84615384615418</c:v>
                </c:pt>
              </c:numCache>
            </c:numRef>
          </c:xVal>
          <c:yVal>
            <c:numRef>
              <c:f>Лист1!$H$6:$H$10</c:f>
              <c:numCache>
                <c:formatCode>General</c:formatCode>
                <c:ptCount val="5"/>
                <c:pt idx="0">
                  <c:v>4.3688000000000007E-8</c:v>
                </c:pt>
                <c:pt idx="1">
                  <c:v>6.5532000000000007E-8</c:v>
                </c:pt>
                <c:pt idx="2">
                  <c:v>8.7376000000000014E-8</c:v>
                </c:pt>
                <c:pt idx="3">
                  <c:v>1.0922000000000002E-7</c:v>
                </c:pt>
                <c:pt idx="4">
                  <c:v>1.3106400000000001E-7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2D-4716-AE2F-FE92297A3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254495"/>
        <c:axId val="1076260735"/>
      </c:scatterChart>
      <c:valAx>
        <c:axId val="107625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260735"/>
        <c:crosses val="autoZero"/>
        <c:crossBetween val="midCat"/>
      </c:valAx>
      <c:valAx>
        <c:axId val="10762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25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Лист1!$J$21:$J$26</c:f>
              <c:numCache>
                <c:formatCode>0.0000</c:formatCode>
                <c:ptCount val="6"/>
                <c:pt idx="0">
                  <c:v>0.18</c:v>
                </c:pt>
                <c:pt idx="1">
                  <c:v>0.36</c:v>
                </c:pt>
                <c:pt idx="2">
                  <c:v>0.54</c:v>
                </c:pt>
                <c:pt idx="3">
                  <c:v>0.70000000000000007</c:v>
                </c:pt>
                <c:pt idx="4">
                  <c:v>0.9</c:v>
                </c:pt>
                <c:pt idx="5">
                  <c:v>1.06</c:v>
                </c:pt>
              </c:numCache>
            </c:numRef>
          </c:xVal>
          <c:yVal>
            <c:numRef>
              <c:f>Лист1!$H$21:$H$26</c:f>
              <c:numCache>
                <c:formatCode>General</c:formatCode>
                <c:ptCount val="6"/>
                <c:pt idx="0">
                  <c:v>6.2801500000000008E-8</c:v>
                </c:pt>
                <c:pt idx="1">
                  <c:v>1.2560300000000002E-7</c:v>
                </c:pt>
                <c:pt idx="2">
                  <c:v>1.8840450000000001E-7</c:v>
                </c:pt>
                <c:pt idx="3">
                  <c:v>2.5120600000000003E-7</c:v>
                </c:pt>
                <c:pt idx="4">
                  <c:v>3.1400750000000008E-7</c:v>
                </c:pt>
                <c:pt idx="5">
                  <c:v>3.7680900000000002E-7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1-47EE-9087-AD8CBDAE4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86383"/>
        <c:axId val="1086998447"/>
      </c:scatterChart>
      <c:valAx>
        <c:axId val="108698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98447"/>
        <c:crosses val="autoZero"/>
        <c:crossBetween val="midCat"/>
      </c:valAx>
      <c:valAx>
        <c:axId val="10869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8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469440</xdr:colOff>
      <xdr:row>3</xdr:row>
      <xdr:rowOff>124909</xdr:rowOff>
    </xdr:from>
    <xdr:to>
      <xdr:col>19</xdr:col>
      <xdr:colOff>122310</xdr:colOff>
      <xdr:row>18</xdr:row>
      <xdr:rowOff>124909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1D52209-3CE7-4CE1-9920-BD68CA61B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99060</xdr:colOff>
      <xdr:row>29</xdr:row>
      <xdr:rowOff>87630</xdr:rowOff>
    </xdr:from>
    <xdr:to>
      <xdr:col>16</xdr:col>
      <xdr:colOff>220980</xdr:colOff>
      <xdr:row>44</xdr:row>
      <xdr:rowOff>87630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7820531-2202-4352-8E25-A6CBBC85B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topLeftCell="A27" zoomScale="115" zoomScaleNormal="115" workbookViewId="0">
      <selection activeCell="C45" sqref="C45"/>
    </sheetView>
  </sheetViews>
  <sheetFormatPr defaultRowHeight="14.4" x14ac:dyDescent="0.3"/>
  <cols>
    <col min="1" max="1" width="31.33203125" customWidth="1"/>
    <col min="3" max="3" width="15.5546875" customWidth="1"/>
    <col min="4" max="4" width="6.88671875" customWidth="1"/>
    <col min="5" max="5" width="23" customWidth="1"/>
    <col min="7" max="7" width="10" bestFit="1" customWidth="1"/>
    <col min="8" max="8" width="12" bestFit="1" customWidth="1"/>
    <col min="9" max="9" width="10" bestFit="1" customWidth="1"/>
    <col min="11" max="12" width="14.6640625" bestFit="1" customWidth="1"/>
  </cols>
  <sheetData>
    <row r="1" spans="1:13" x14ac:dyDescent="0.3">
      <c r="A1" t="s">
        <v>0</v>
      </c>
    </row>
    <row r="2" spans="1:13" x14ac:dyDescent="0.3">
      <c r="A2" t="s">
        <v>1</v>
      </c>
      <c r="B2">
        <v>20</v>
      </c>
      <c r="F2" t="s">
        <v>36</v>
      </c>
      <c r="G2">
        <f>5461*10^-10</f>
        <v>5.4610000000000005E-7</v>
      </c>
    </row>
    <row r="3" spans="1:13" x14ac:dyDescent="0.3">
      <c r="A3" t="s">
        <v>2</v>
      </c>
      <c r="B3">
        <v>0.3</v>
      </c>
    </row>
    <row r="5" spans="1:13" x14ac:dyDescent="0.3">
      <c r="A5" t="s">
        <v>3</v>
      </c>
      <c r="B5">
        <v>57.5</v>
      </c>
      <c r="F5" t="s">
        <v>32</v>
      </c>
      <c r="G5" t="s">
        <v>34</v>
      </c>
      <c r="H5" t="s">
        <v>37</v>
      </c>
      <c r="I5" t="s">
        <v>38</v>
      </c>
    </row>
    <row r="6" spans="1:13" x14ac:dyDescent="0.3">
      <c r="F6">
        <v>2.1499999999999986</v>
      </c>
      <c r="G6">
        <v>2</v>
      </c>
      <c r="H6">
        <f>4*$G$2*G6*10^-2</f>
        <v>4.3688000000000007E-8</v>
      </c>
      <c r="I6">
        <f>1/(F6*10^-2)</f>
        <v>46.51162790697677</v>
      </c>
    </row>
    <row r="7" spans="1:13" x14ac:dyDescent="0.3">
      <c r="F7">
        <v>1.3999999999999986</v>
      </c>
      <c r="G7">
        <v>3</v>
      </c>
      <c r="H7">
        <f t="shared" ref="H7:H10" si="0">4*$G$2*G7*10^-2</f>
        <v>6.5532000000000007E-8</v>
      </c>
      <c r="I7">
        <f t="shared" ref="I7:I10" si="1">1/(F7*10^-2)</f>
        <v>71.428571428571502</v>
      </c>
    </row>
    <row r="8" spans="1:13" x14ac:dyDescent="0.3">
      <c r="A8" t="s">
        <v>33</v>
      </c>
      <c r="B8" t="s">
        <v>34</v>
      </c>
      <c r="C8" t="s">
        <v>35</v>
      </c>
      <c r="D8" t="s">
        <v>32</v>
      </c>
      <c r="F8">
        <v>1.0499999999999972</v>
      </c>
      <c r="G8">
        <v>4</v>
      </c>
      <c r="H8">
        <f>4*$G$2*G8*10^-2</f>
        <v>8.7376000000000014E-8</v>
      </c>
      <c r="I8">
        <f t="shared" si="1"/>
        <v>95.238095238095497</v>
      </c>
    </row>
    <row r="9" spans="1:13" x14ac:dyDescent="0.3">
      <c r="A9">
        <v>1</v>
      </c>
      <c r="B9">
        <v>2</v>
      </c>
      <c r="C9">
        <v>55.35</v>
      </c>
      <c r="D9">
        <f>$B$5-C9</f>
        <v>2.1499999999999986</v>
      </c>
      <c r="F9">
        <v>0.79999999999999716</v>
      </c>
      <c r="G9">
        <v>5</v>
      </c>
      <c r="H9">
        <f t="shared" si="0"/>
        <v>1.0922000000000002E-7</v>
      </c>
      <c r="I9">
        <f t="shared" si="1"/>
        <v>125.00000000000043</v>
      </c>
    </row>
    <row r="10" spans="1:13" x14ac:dyDescent="0.3">
      <c r="A10">
        <v>2</v>
      </c>
      <c r="B10">
        <v>3</v>
      </c>
      <c r="C10">
        <v>56.1</v>
      </c>
      <c r="D10">
        <f t="shared" ref="D10:D13" si="2">$B$5-C10</f>
        <v>1.3999999999999986</v>
      </c>
      <c r="F10">
        <v>0.64999999999999858</v>
      </c>
      <c r="G10">
        <v>6</v>
      </c>
      <c r="H10">
        <f t="shared" si="0"/>
        <v>1.3106400000000001E-7</v>
      </c>
      <c r="I10">
        <f t="shared" si="1"/>
        <v>153.84615384615418</v>
      </c>
    </row>
    <row r="11" spans="1:13" x14ac:dyDescent="0.3">
      <c r="A11">
        <v>3</v>
      </c>
      <c r="B11">
        <v>4</v>
      </c>
      <c r="C11">
        <v>56.45</v>
      </c>
      <c r="D11">
        <f t="shared" si="2"/>
        <v>1.0499999999999972</v>
      </c>
      <c r="J11" t="s">
        <v>39</v>
      </c>
      <c r="K11" s="3">
        <v>8.7814457189031896E-10</v>
      </c>
      <c r="L11" s="3">
        <v>1.44659066401065E-11</v>
      </c>
      <c r="M11" s="1">
        <f>L11/K11</f>
        <v>1.6473263176889859E-2</v>
      </c>
    </row>
    <row r="12" spans="1:13" x14ac:dyDescent="0.3">
      <c r="A12">
        <v>4</v>
      </c>
      <c r="B12">
        <v>5</v>
      </c>
      <c r="C12">
        <v>56.7</v>
      </c>
      <c r="D12">
        <f t="shared" si="2"/>
        <v>0.79999999999999716</v>
      </c>
      <c r="J12" t="s">
        <v>40</v>
      </c>
      <c r="K12" s="2">
        <f>SQRT(K11)</f>
        <v>2.9633504212129872E-5</v>
      </c>
      <c r="L12" s="2">
        <f>M12*K12</f>
        <v>2.4408025686994479E-7</v>
      </c>
      <c r="M12" s="1">
        <f>M11/2</f>
        <v>8.2366315884449294E-3</v>
      </c>
    </row>
    <row r="13" spans="1:13" x14ac:dyDescent="0.3">
      <c r="A13">
        <v>5</v>
      </c>
      <c r="B13">
        <v>6</v>
      </c>
      <c r="C13">
        <v>56.85</v>
      </c>
      <c r="D13">
        <f t="shared" si="2"/>
        <v>0.64999999999999858</v>
      </c>
    </row>
    <row r="16" spans="1:13" x14ac:dyDescent="0.3">
      <c r="H16" t="s">
        <v>22</v>
      </c>
    </row>
    <row r="17" spans="1:12" x14ac:dyDescent="0.3">
      <c r="A17" t="s">
        <v>4</v>
      </c>
      <c r="B17">
        <v>38.5</v>
      </c>
      <c r="C17" t="s">
        <v>5</v>
      </c>
      <c r="D17" t="s">
        <v>7</v>
      </c>
      <c r="E17">
        <f>B17-B18</f>
        <v>30.5</v>
      </c>
      <c r="H17" t="s">
        <v>8</v>
      </c>
      <c r="K17" t="s">
        <v>9</v>
      </c>
    </row>
    <row r="18" spans="1:12" x14ac:dyDescent="0.3">
      <c r="B18">
        <v>8</v>
      </c>
      <c r="C18" t="s">
        <v>6</v>
      </c>
      <c r="H18" t="s">
        <v>10</v>
      </c>
      <c r="K18">
        <f>0.305/15</f>
        <v>2.0333333333333332E-2</v>
      </c>
      <c r="L18" t="s">
        <v>11</v>
      </c>
    </row>
    <row r="20" spans="1:12" x14ac:dyDescent="0.3">
      <c r="A20" t="s">
        <v>17</v>
      </c>
      <c r="G20" t="s">
        <v>41</v>
      </c>
      <c r="H20" t="s">
        <v>44</v>
      </c>
      <c r="I20" t="s">
        <v>42</v>
      </c>
      <c r="J20" t="s">
        <v>43</v>
      </c>
    </row>
    <row r="21" spans="1:12" x14ac:dyDescent="0.3">
      <c r="A21" t="s">
        <v>12</v>
      </c>
      <c r="B21">
        <v>0.115</v>
      </c>
      <c r="C21" t="s">
        <v>45</v>
      </c>
      <c r="G21">
        <v>1</v>
      </c>
      <c r="H21">
        <f>G21*$G$2*$B$21</f>
        <v>6.2801500000000008E-8</v>
      </c>
      <c r="I21">
        <v>9</v>
      </c>
      <c r="J21" s="4">
        <f>I21*0.02</f>
        <v>0.18</v>
      </c>
      <c r="K21">
        <v>6.2801500000000008E-8</v>
      </c>
    </row>
    <row r="22" spans="1:12" x14ac:dyDescent="0.3">
      <c r="G22">
        <v>2</v>
      </c>
      <c r="H22">
        <f t="shared" ref="H22:H26" si="3">G22*$G$2*$B$21</f>
        <v>1.2560300000000002E-7</v>
      </c>
      <c r="I22">
        <v>18</v>
      </c>
      <c r="J22" s="4">
        <f t="shared" ref="J22:J26" si="4">I22*0.02</f>
        <v>0.36</v>
      </c>
      <c r="K22">
        <v>1.2560300000000002E-7</v>
      </c>
    </row>
    <row r="23" spans="1:12" x14ac:dyDescent="0.3">
      <c r="G23">
        <v>3</v>
      </c>
      <c r="H23">
        <f t="shared" si="3"/>
        <v>1.8840450000000001E-7</v>
      </c>
      <c r="I23">
        <v>27</v>
      </c>
      <c r="J23" s="4">
        <f t="shared" si="4"/>
        <v>0.54</v>
      </c>
      <c r="K23">
        <v>1.8840450000000001E-7</v>
      </c>
    </row>
    <row r="24" spans="1:12" x14ac:dyDescent="0.3">
      <c r="G24">
        <v>4</v>
      </c>
      <c r="H24">
        <f t="shared" si="3"/>
        <v>2.5120600000000003E-7</v>
      </c>
      <c r="I24">
        <v>35</v>
      </c>
      <c r="J24" s="4">
        <f t="shared" si="4"/>
        <v>0.70000000000000007</v>
      </c>
      <c r="K24">
        <v>2.5120600000000003E-7</v>
      </c>
    </row>
    <row r="25" spans="1:12" x14ac:dyDescent="0.3">
      <c r="G25">
        <v>5</v>
      </c>
      <c r="H25">
        <f t="shared" si="3"/>
        <v>3.1400750000000008E-7</v>
      </c>
      <c r="I25">
        <v>45</v>
      </c>
      <c r="J25" s="4">
        <f t="shared" si="4"/>
        <v>0.9</v>
      </c>
      <c r="K25">
        <v>3.1400750000000008E-7</v>
      </c>
    </row>
    <row r="26" spans="1:12" x14ac:dyDescent="0.3">
      <c r="A26" t="s">
        <v>14</v>
      </c>
      <c r="D26">
        <v>362</v>
      </c>
      <c r="E26" t="s">
        <v>15</v>
      </c>
      <c r="F26">
        <f>0.01*D26</f>
        <v>3.62</v>
      </c>
      <c r="G26">
        <v>6</v>
      </c>
      <c r="H26">
        <f t="shared" si="3"/>
        <v>3.7680900000000002E-7</v>
      </c>
      <c r="I26">
        <v>53</v>
      </c>
      <c r="J26" s="4">
        <f t="shared" si="4"/>
        <v>1.06</v>
      </c>
      <c r="K26">
        <v>3.7680900000000002E-7</v>
      </c>
    </row>
    <row r="28" spans="1:12" x14ac:dyDescent="0.3">
      <c r="H28">
        <f>I28/J21</f>
        <v>3.0338888888888896E-9</v>
      </c>
      <c r="I28">
        <f>0.001*G2*G21</f>
        <v>5.4610000000000011E-10</v>
      </c>
      <c r="J28" s="4">
        <f>I28/H21</f>
        <v>8.6956521739130436E-3</v>
      </c>
      <c r="K28">
        <f>0.02/J21</f>
        <v>0.11111111111111112</v>
      </c>
    </row>
    <row r="29" spans="1:12" x14ac:dyDescent="0.3">
      <c r="A29" t="s">
        <v>16</v>
      </c>
    </row>
    <row r="30" spans="1:12" x14ac:dyDescent="0.3">
      <c r="A30" t="s">
        <v>18</v>
      </c>
      <c r="E30" t="s">
        <v>19</v>
      </c>
      <c r="F30" t="s">
        <v>20</v>
      </c>
      <c r="H30" s="1">
        <v>3.53165921741083E-7</v>
      </c>
      <c r="I30" s="1">
        <v>1.7677555035010301E-9</v>
      </c>
    </row>
    <row r="31" spans="1:12" x14ac:dyDescent="0.3">
      <c r="E31">
        <v>11.5</v>
      </c>
      <c r="F31">
        <v>12.5</v>
      </c>
      <c r="G31" t="s">
        <v>13</v>
      </c>
      <c r="H31" s="5">
        <f>H30*10^6</f>
        <v>0.35316592174108302</v>
      </c>
      <c r="I31" s="5">
        <f>I30*10^6</f>
        <v>1.7677555035010301E-3</v>
      </c>
    </row>
    <row r="33" spans="1:5" x14ac:dyDescent="0.3">
      <c r="A33" t="s">
        <v>21</v>
      </c>
      <c r="B33">
        <v>0.46</v>
      </c>
      <c r="C33" t="s">
        <v>11</v>
      </c>
    </row>
    <row r="34" spans="1:5" x14ac:dyDescent="0.3">
      <c r="A34" t="s">
        <v>7</v>
      </c>
      <c r="B34">
        <v>0.42</v>
      </c>
    </row>
    <row r="35" spans="1:5" x14ac:dyDescent="0.3">
      <c r="A35" t="s">
        <v>23</v>
      </c>
      <c r="B35">
        <v>0.91</v>
      </c>
      <c r="C35" t="s">
        <v>11</v>
      </c>
    </row>
    <row r="36" spans="1:5" x14ac:dyDescent="0.3">
      <c r="A36" t="s">
        <v>24</v>
      </c>
      <c r="B36">
        <v>1.02</v>
      </c>
      <c r="C36" t="s">
        <v>11</v>
      </c>
    </row>
    <row r="38" spans="1:5" x14ac:dyDescent="0.3">
      <c r="A38" t="s">
        <v>25</v>
      </c>
    </row>
    <row r="39" spans="1:5" x14ac:dyDescent="0.3">
      <c r="A39" t="s">
        <v>26</v>
      </c>
      <c r="B39">
        <v>1.31</v>
      </c>
      <c r="C39" t="s">
        <v>11</v>
      </c>
    </row>
    <row r="42" spans="1:5" x14ac:dyDescent="0.3">
      <c r="A42">
        <v>77</v>
      </c>
      <c r="B42">
        <v>1.5</v>
      </c>
      <c r="C42">
        <v>76</v>
      </c>
      <c r="D42">
        <v>0</v>
      </c>
    </row>
    <row r="43" spans="1:5" x14ac:dyDescent="0.3">
      <c r="A43">
        <v>0</v>
      </c>
      <c r="B43">
        <f>B42+(100-A42)</f>
        <v>24.5</v>
      </c>
      <c r="C43">
        <f>C42+100-A42</f>
        <v>99</v>
      </c>
      <c r="D43">
        <f>100+100-A42</f>
        <v>123</v>
      </c>
      <c r="E43" t="s">
        <v>31</v>
      </c>
    </row>
    <row r="44" spans="1:5" x14ac:dyDescent="0.3">
      <c r="A44" t="s">
        <v>27</v>
      </c>
      <c r="B44" t="s">
        <v>28</v>
      </c>
      <c r="C44" t="s">
        <v>29</v>
      </c>
      <c r="D44" t="s">
        <v>30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Skif</dc:creator>
  <cp:lastModifiedBy>Владислав Лепин</cp:lastModifiedBy>
  <dcterms:created xsi:type="dcterms:W3CDTF">2015-06-05T18:19:34Z</dcterms:created>
  <dcterms:modified xsi:type="dcterms:W3CDTF">2025-04-04T23:30:58Z</dcterms:modified>
</cp:coreProperties>
</file>