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kif\Desktop\"/>
    </mc:Choice>
  </mc:AlternateContent>
  <xr:revisionPtr revIDLastSave="0" documentId="13_ncr:1_{7A73765B-EB64-453E-B506-BAB3A35D9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19" i="1"/>
  <c r="K20" i="1"/>
  <c r="K21" i="1"/>
  <c r="K22" i="1"/>
  <c r="K17" i="1"/>
  <c r="J22" i="1"/>
  <c r="J18" i="1"/>
  <c r="J19" i="1"/>
  <c r="J20" i="1"/>
  <c r="J21" i="1"/>
  <c r="J17" i="1"/>
</calcChain>
</file>

<file path=xl/sharedStrings.xml><?xml version="1.0" encoding="utf-8"?>
<sst xmlns="http://schemas.openxmlformats.org/spreadsheetml/2006/main" count="21" uniqueCount="13">
  <si>
    <t>m</t>
  </si>
  <si>
    <t>xₘ, мкм</t>
  </si>
  <si>
    <t>ν = 1.0084 МГц</t>
  </si>
  <si>
    <t>ν = 1,17667 МГц</t>
  </si>
  <si>
    <t>ν = 1,51635 МГц</t>
  </si>
  <si>
    <t>ν = 1,9986 MPa</t>
  </si>
  <si>
    <t>ν = 4,43 МГц</t>
  </si>
  <si>
    <t>x₁, дел</t>
  </si>
  <si>
    <t>xₙ, дел</t>
  </si>
  <si>
    <t>n-1</t>
  </si>
  <si>
    <t>Λ, мм</t>
  </si>
  <si>
    <t>εΛ</t>
  </si>
  <si>
    <t>ν, MГц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</si>
</sst>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00"/>
    <numFmt numFmtId="171" formatCode="#,##0.00000"/>
    <numFmt numFmtId="173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rgb="FF404040"/>
      <name val="Arial"/>
      <family val="2"/>
      <charset val="204"/>
    </font>
    <font>
      <sz val="11"/>
      <color rgb="FF494949"/>
      <name val="Arial"/>
      <family val="2"/>
      <charset val="204"/>
    </font>
    <font>
      <sz val="10"/>
      <color rgb="FF404040"/>
      <name val="Segoe UI"/>
      <family val="2"/>
      <charset val="204"/>
    </font>
    <font>
      <sz val="12"/>
      <color rgb="FF40404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Font="1"/>
    <xf numFmtId="3" fontId="0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/>
    <xf numFmtId="0" fontId="5" fillId="0" borderId="1" xfId="0" applyFont="1" applyBorder="1" applyAlignment="1">
      <alignment horizontal="center"/>
    </xf>
    <xf numFmtId="3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169" fontId="6" fillId="2" borderId="1" xfId="0" applyNumberFormat="1" applyFont="1" applyFill="1" applyBorder="1" applyAlignment="1">
      <alignment vertical="center" wrapText="1"/>
    </xf>
    <xf numFmtId="171" fontId="6" fillId="2" borderId="1" xfId="0" applyNumberFormat="1" applyFont="1" applyFill="1" applyBorder="1" applyAlignment="1">
      <alignment vertical="center" wrapText="1"/>
    </xf>
    <xf numFmtId="9" fontId="0" fillId="0" borderId="0" xfId="1" applyFont="1"/>
    <xf numFmtId="173" fontId="6" fillId="2" borderId="1" xfId="1" applyNumberFormat="1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6" workbookViewId="0">
      <selection activeCell="J17" sqref="J17:K22"/>
    </sheetView>
  </sheetViews>
  <sheetFormatPr defaultRowHeight="14.4" x14ac:dyDescent="0.3"/>
  <cols>
    <col min="1" max="1" width="9.33203125" style="4" bestFit="1" customWidth="1"/>
    <col min="2" max="16384" width="8.88671875" style="4"/>
  </cols>
  <sheetData>
    <row r="1" spans="1:14" ht="41.4" customHeight="1" x14ac:dyDescent="0.35">
      <c r="A1" s="8" t="s">
        <v>2</v>
      </c>
      <c r="B1" s="9"/>
      <c r="D1" s="10" t="s">
        <v>3</v>
      </c>
      <c r="E1" s="11"/>
      <c r="F1" s="5"/>
      <c r="G1" s="8" t="s">
        <v>4</v>
      </c>
      <c r="H1" s="9"/>
      <c r="J1" s="6" t="s">
        <v>5</v>
      </c>
      <c r="K1" s="7"/>
      <c r="M1" s="15" t="s">
        <v>6</v>
      </c>
      <c r="N1" s="15"/>
    </row>
    <row r="2" spans="1:14" x14ac:dyDescent="0.3">
      <c r="A2" s="2" t="s">
        <v>0</v>
      </c>
      <c r="B2" s="2" t="s">
        <v>1</v>
      </c>
      <c r="D2" s="3" t="s">
        <v>0</v>
      </c>
      <c r="E2" s="1" t="s">
        <v>1</v>
      </c>
      <c r="G2" s="2" t="s">
        <v>0</v>
      </c>
      <c r="H2" s="2" t="s">
        <v>1</v>
      </c>
      <c r="J2" s="2" t="s">
        <v>0</v>
      </c>
      <c r="K2" s="2" t="s">
        <v>1</v>
      </c>
      <c r="M2" s="2" t="s">
        <v>0</v>
      </c>
      <c r="N2" s="2" t="s">
        <v>1</v>
      </c>
    </row>
    <row r="3" spans="1:14" x14ac:dyDescent="0.3">
      <c r="A3" s="2">
        <v>-4</v>
      </c>
      <c r="B3" s="2">
        <v>1036</v>
      </c>
      <c r="D3" s="3">
        <v>-2</v>
      </c>
      <c r="E3" s="1">
        <v>904</v>
      </c>
      <c r="G3" s="2">
        <v>-2</v>
      </c>
      <c r="H3" s="2">
        <v>988</v>
      </c>
      <c r="J3" s="2">
        <v>-2</v>
      </c>
      <c r="K3" s="2">
        <v>960</v>
      </c>
      <c r="M3" s="2">
        <v>-1</v>
      </c>
      <c r="N3" s="2">
        <v>1076</v>
      </c>
    </row>
    <row r="4" spans="1:14" x14ac:dyDescent="0.3">
      <c r="A4" s="2">
        <v>-3</v>
      </c>
      <c r="B4" s="2">
        <v>912</v>
      </c>
      <c r="D4" s="3">
        <v>-1</v>
      </c>
      <c r="E4" s="1">
        <v>768</v>
      </c>
      <c r="G4" s="2">
        <v>-1</v>
      </c>
      <c r="H4" s="2">
        <v>836</v>
      </c>
      <c r="J4" s="2">
        <v>-1</v>
      </c>
      <c r="K4" s="2">
        <v>796</v>
      </c>
      <c r="M4" s="2">
        <v>0</v>
      </c>
      <c r="N4" s="2">
        <v>560</v>
      </c>
    </row>
    <row r="5" spans="1:14" x14ac:dyDescent="0.3">
      <c r="A5" s="2">
        <v>-2</v>
      </c>
      <c r="B5" s="2">
        <v>788</v>
      </c>
      <c r="D5" s="3">
        <v>0</v>
      </c>
      <c r="E5" s="1">
        <v>616</v>
      </c>
      <c r="G5" s="2">
        <v>0</v>
      </c>
      <c r="H5" s="2">
        <v>632</v>
      </c>
      <c r="J5" s="2">
        <v>0</v>
      </c>
      <c r="K5" s="2">
        <v>508</v>
      </c>
      <c r="M5" s="2">
        <v>1</v>
      </c>
      <c r="N5" s="2">
        <v>16</v>
      </c>
    </row>
    <row r="6" spans="1:14" x14ac:dyDescent="0.3">
      <c r="A6" s="2">
        <v>-1</v>
      </c>
      <c r="B6" s="2">
        <v>660</v>
      </c>
      <c r="D6" s="3">
        <v>1</v>
      </c>
      <c r="E6" s="1">
        <v>476</v>
      </c>
      <c r="G6" s="2">
        <v>1</v>
      </c>
      <c r="H6" s="2">
        <v>444</v>
      </c>
      <c r="J6" s="2">
        <v>1</v>
      </c>
      <c r="K6" s="2">
        <v>288</v>
      </c>
      <c r="M6" s="14"/>
      <c r="N6" s="14"/>
    </row>
    <row r="7" spans="1:14" x14ac:dyDescent="0.3">
      <c r="A7" s="2">
        <v>0</v>
      </c>
      <c r="B7" s="2">
        <v>524</v>
      </c>
      <c r="D7" s="3">
        <v>2</v>
      </c>
      <c r="E7" s="1">
        <v>328</v>
      </c>
      <c r="G7" s="2">
        <v>2</v>
      </c>
      <c r="H7" s="2">
        <v>256</v>
      </c>
      <c r="J7" s="2">
        <v>2</v>
      </c>
      <c r="K7" s="2">
        <v>40</v>
      </c>
    </row>
    <row r="8" spans="1:14" x14ac:dyDescent="0.3">
      <c r="A8" s="2">
        <v>1</v>
      </c>
      <c r="B8" s="2">
        <v>416</v>
      </c>
      <c r="G8" s="14"/>
      <c r="H8" s="14"/>
    </row>
    <row r="9" spans="1:14" x14ac:dyDescent="0.3">
      <c r="A9" s="2">
        <v>2</v>
      </c>
      <c r="B9" s="2">
        <v>292</v>
      </c>
      <c r="G9" s="14"/>
      <c r="H9" s="14"/>
    </row>
    <row r="10" spans="1:14" x14ac:dyDescent="0.3">
      <c r="A10" s="2">
        <v>3</v>
      </c>
      <c r="B10" s="2">
        <v>176</v>
      </c>
      <c r="D10" s="12"/>
      <c r="E10" s="13"/>
    </row>
    <row r="11" spans="1:14" x14ac:dyDescent="0.3">
      <c r="A11" s="2">
        <v>4</v>
      </c>
      <c r="B11" s="2">
        <v>64</v>
      </c>
      <c r="D11" s="12"/>
      <c r="E11" s="13"/>
    </row>
    <row r="16" spans="1:14" ht="15.6" x14ac:dyDescent="0.3">
      <c r="A16" s="18" t="s">
        <v>12</v>
      </c>
      <c r="B16" s="18" t="s">
        <v>7</v>
      </c>
      <c r="C16" s="18" t="s">
        <v>8</v>
      </c>
      <c r="D16" s="18" t="s">
        <v>9</v>
      </c>
      <c r="E16" s="18" t="s">
        <v>10</v>
      </c>
      <c r="F16" s="18" t="s">
        <v>11</v>
      </c>
    </row>
    <row r="17" spans="1:11" ht="15.6" x14ac:dyDescent="0.3">
      <c r="A17" s="20">
        <v>1.27241</v>
      </c>
      <c r="B17" s="17">
        <v>0.35</v>
      </c>
      <c r="C17" s="17">
        <v>5</v>
      </c>
      <c r="D17" s="17">
        <v>10</v>
      </c>
      <c r="E17" s="19">
        <v>1.163</v>
      </c>
      <c r="F17" s="22">
        <v>2.1999999999999999E-2</v>
      </c>
      <c r="J17" s="4">
        <f>1/A17</f>
        <v>0.7859102019003309</v>
      </c>
      <c r="K17" s="19">
        <f>E17</f>
        <v>1.163</v>
      </c>
    </row>
    <row r="18" spans="1:11" ht="15.6" x14ac:dyDescent="0.3">
      <c r="A18" s="20">
        <v>2.1334200000000001</v>
      </c>
      <c r="B18" s="17">
        <v>0.5</v>
      </c>
      <c r="C18" s="17">
        <v>5.0999999999999996</v>
      </c>
      <c r="D18" s="17">
        <v>17</v>
      </c>
      <c r="E18" s="19">
        <v>0.67600000000000005</v>
      </c>
      <c r="F18" s="22">
        <v>2.1999999999999999E-2</v>
      </c>
      <c r="J18" s="4">
        <f t="shared" ref="J18:J22" si="0">1/A18</f>
        <v>0.46873095780483914</v>
      </c>
      <c r="K18" s="19">
        <f t="shared" ref="K18:K23" si="1">E18</f>
        <v>0.67600000000000005</v>
      </c>
    </row>
    <row r="19" spans="1:11" ht="15.6" x14ac:dyDescent="0.3">
      <c r="A19" s="20">
        <v>1.1363799999999999</v>
      </c>
      <c r="B19" s="17">
        <v>0.5</v>
      </c>
      <c r="C19" s="17">
        <v>6.1</v>
      </c>
      <c r="D19" s="17">
        <v>11</v>
      </c>
      <c r="E19" s="19">
        <v>1.2729999999999999</v>
      </c>
      <c r="F19" s="22">
        <v>1.7999999999999999E-2</v>
      </c>
      <c r="J19" s="4">
        <f t="shared" si="0"/>
        <v>0.87998732818247416</v>
      </c>
      <c r="K19" s="19">
        <f t="shared" si="1"/>
        <v>1.2729999999999999</v>
      </c>
    </row>
    <row r="20" spans="1:11" ht="15.6" x14ac:dyDescent="0.3">
      <c r="A20" s="20">
        <v>1.06176</v>
      </c>
      <c r="B20" s="17">
        <v>0.15</v>
      </c>
      <c r="C20" s="17">
        <v>6.15</v>
      </c>
      <c r="D20" s="17">
        <v>11</v>
      </c>
      <c r="E20" s="19">
        <v>1.3640000000000001</v>
      </c>
      <c r="F20" s="22">
        <v>1.7000000000000001E-2</v>
      </c>
      <c r="J20" s="4">
        <f t="shared" si="0"/>
        <v>0.94183242917420129</v>
      </c>
      <c r="K20" s="19">
        <f t="shared" si="1"/>
        <v>1.3640000000000001</v>
      </c>
    </row>
    <row r="21" spans="1:11" ht="15.6" x14ac:dyDescent="0.3">
      <c r="A21" s="20">
        <v>1.5252600000000001</v>
      </c>
      <c r="B21" s="17">
        <v>0.1</v>
      </c>
      <c r="C21" s="17">
        <v>5.2</v>
      </c>
      <c r="D21" s="17">
        <v>13</v>
      </c>
      <c r="E21" s="19">
        <v>0.98099999999999998</v>
      </c>
      <c r="F21" s="22">
        <v>0.02</v>
      </c>
      <c r="J21" s="4">
        <f t="shared" si="0"/>
        <v>0.65562592607162051</v>
      </c>
      <c r="K21" s="19">
        <f t="shared" si="1"/>
        <v>0.98099999999999998</v>
      </c>
    </row>
    <row r="22" spans="1:11" ht="15.6" x14ac:dyDescent="0.3">
      <c r="A22" s="20">
        <v>1.7626500000000001</v>
      </c>
      <c r="B22" s="17">
        <v>0</v>
      </c>
      <c r="C22" s="17">
        <v>5.5</v>
      </c>
      <c r="D22" s="17">
        <v>16</v>
      </c>
      <c r="E22" s="19">
        <v>0.85899999999999999</v>
      </c>
      <c r="F22" s="22">
        <v>1.7999999999999999E-2</v>
      </c>
      <c r="J22" s="4">
        <f>1/A22</f>
        <v>0.56732760332453969</v>
      </c>
      <c r="K22" s="19">
        <f t="shared" si="1"/>
        <v>0.85899999999999999</v>
      </c>
    </row>
    <row r="23" spans="1:11" ht="15.6" x14ac:dyDescent="0.3">
      <c r="F23" s="21"/>
      <c r="K23" s="16"/>
    </row>
  </sheetData>
  <mergeCells count="5">
    <mergeCell ref="J1:K1"/>
    <mergeCell ref="A1:B1"/>
    <mergeCell ref="G1:H1"/>
    <mergeCell ref="D1:E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Skif</dc:creator>
  <cp:lastModifiedBy>Владислав Лепин</cp:lastModifiedBy>
  <dcterms:created xsi:type="dcterms:W3CDTF">2015-06-05T18:19:34Z</dcterms:created>
  <dcterms:modified xsi:type="dcterms:W3CDTF">2025-04-25T23:39:11Z</dcterms:modified>
</cp:coreProperties>
</file>